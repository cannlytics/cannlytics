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22425A71-FD87-4BB1-AADC-F14A37C11288}" xr6:coauthVersionLast="47" xr6:coauthVersionMax="47" xr10:uidLastSave="{00000000-0000-0000-0000-000000000000}"/>
  <bookViews>
    <workbookView xWindow="-110" yWindow="-110" windowWidth="19420" windowHeight="11760" activeTab="1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A83" i="1"/>
  <c r="B83" i="1"/>
  <c r="C83" i="1"/>
  <c r="D83" i="1"/>
  <c r="E83" i="1"/>
  <c r="F83" i="1"/>
  <c r="A84" i="1"/>
  <c r="B84" i="1"/>
  <c r="C84" i="1"/>
  <c r="D84" i="1"/>
  <c r="E84" i="1"/>
  <c r="F84" i="1"/>
  <c r="A85" i="1"/>
  <c r="B85" i="1"/>
  <c r="C85" i="1"/>
  <c r="D85" i="1"/>
  <c r="E85" i="1"/>
  <c r="F85" i="1"/>
  <c r="A86" i="1"/>
  <c r="B86" i="1"/>
  <c r="C86" i="1"/>
  <c r="D86" i="1"/>
  <c r="E86" i="1"/>
  <c r="F86" i="1"/>
  <c r="A87" i="1"/>
  <c r="B87" i="1"/>
  <c r="C87" i="1"/>
  <c r="D87" i="1"/>
  <c r="E87" i="1"/>
  <c r="F87" i="1"/>
  <c r="A88" i="1"/>
  <c r="B88" i="1"/>
  <c r="C88" i="1"/>
  <c r="D88" i="1"/>
  <c r="E88" i="1"/>
  <c r="F88" i="1"/>
  <c r="A89" i="1"/>
  <c r="B89" i="1"/>
  <c r="C89" i="1"/>
  <c r="D89" i="1"/>
  <c r="E89" i="1"/>
  <c r="F89" i="1"/>
  <c r="A90" i="1"/>
  <c r="B90" i="1"/>
  <c r="C90" i="1"/>
  <c r="D90" i="1"/>
  <c r="E90" i="1"/>
  <c r="F90" i="1"/>
  <c r="A91" i="1"/>
  <c r="B91" i="1"/>
  <c r="C91" i="1"/>
  <c r="D91" i="1"/>
  <c r="E91" i="1"/>
  <c r="F91" i="1"/>
  <c r="A92" i="1"/>
  <c r="B92" i="1"/>
  <c r="C92" i="1"/>
  <c r="D92" i="1"/>
  <c r="E92" i="1"/>
  <c r="F92" i="1"/>
  <c r="A93" i="1"/>
  <c r="B93" i="1"/>
  <c r="C93" i="1"/>
  <c r="D93" i="1"/>
  <c r="E93" i="1"/>
  <c r="F93" i="1"/>
  <c r="A94" i="1"/>
  <c r="B94" i="1"/>
  <c r="C94" i="1"/>
  <c r="D94" i="1"/>
  <c r="E94" i="1"/>
  <c r="F94" i="1"/>
  <c r="A95" i="1"/>
  <c r="B95" i="1"/>
  <c r="C95" i="1"/>
  <c r="D95" i="1"/>
  <c r="E95" i="1"/>
  <c r="F95" i="1"/>
  <c r="A96" i="1"/>
  <c r="B96" i="1"/>
  <c r="C96" i="1"/>
  <c r="D96" i="1"/>
  <c r="E96" i="1"/>
  <c r="F96" i="1"/>
  <c r="A97" i="1"/>
  <c r="B97" i="1"/>
  <c r="C97" i="1"/>
  <c r="D97" i="1"/>
  <c r="E97" i="1"/>
  <c r="F97" i="1"/>
  <c r="A98" i="1"/>
  <c r="B98" i="1"/>
  <c r="C98" i="1"/>
  <c r="D98" i="1"/>
  <c r="E98" i="1"/>
  <c r="F98" i="1"/>
  <c r="A99" i="1"/>
  <c r="B99" i="1"/>
  <c r="C99" i="1"/>
  <c r="D99" i="1"/>
  <c r="E99" i="1"/>
  <c r="F99" i="1"/>
  <c r="A100" i="1"/>
  <c r="B100" i="1"/>
  <c r="C100" i="1"/>
  <c r="D100" i="1"/>
  <c r="E100" i="1"/>
  <c r="F100" i="1"/>
  <c r="A101" i="1"/>
  <c r="B101" i="1"/>
  <c r="C101" i="1"/>
  <c r="D101" i="1"/>
  <c r="E101" i="1"/>
  <c r="F101" i="1"/>
  <c r="A102" i="1"/>
  <c r="B102" i="1"/>
  <c r="C102" i="1"/>
  <c r="D102" i="1"/>
  <c r="E102" i="1"/>
  <c r="F102" i="1"/>
  <c r="A103" i="1"/>
  <c r="B103" i="1"/>
  <c r="C103" i="1"/>
  <c r="D103" i="1"/>
  <c r="E103" i="1"/>
  <c r="F103" i="1"/>
  <c r="A104" i="1"/>
  <c r="B104" i="1"/>
  <c r="C104" i="1"/>
  <c r="D104" i="1"/>
  <c r="E104" i="1"/>
  <c r="F104" i="1"/>
  <c r="A105" i="1"/>
  <c r="B105" i="1"/>
  <c r="C105" i="1"/>
  <c r="D105" i="1"/>
  <c r="E105" i="1"/>
  <c r="F105" i="1"/>
  <c r="A106" i="1"/>
  <c r="B106" i="1"/>
  <c r="C106" i="1"/>
  <c r="D106" i="1"/>
  <c r="E106" i="1"/>
  <c r="F106" i="1"/>
  <c r="A107" i="1"/>
  <c r="B107" i="1"/>
  <c r="C107" i="1"/>
  <c r="D107" i="1"/>
  <c r="E107" i="1"/>
  <c r="F107" i="1"/>
  <c r="A108" i="1"/>
  <c r="B108" i="1"/>
  <c r="C108" i="1"/>
  <c r="D108" i="1"/>
  <c r="E108" i="1"/>
  <c r="F108" i="1"/>
  <c r="A109" i="1"/>
  <c r="B109" i="1"/>
  <c r="C109" i="1"/>
  <c r="D109" i="1"/>
  <c r="E109" i="1"/>
  <c r="F109" i="1"/>
  <c r="A110" i="1"/>
  <c r="B110" i="1"/>
  <c r="C110" i="1"/>
  <c r="D110" i="1"/>
  <c r="E110" i="1"/>
  <c r="F110" i="1"/>
  <c r="A111" i="1"/>
  <c r="B111" i="1"/>
  <c r="C111" i="1"/>
  <c r="D111" i="1"/>
  <c r="E111" i="1"/>
  <c r="F111" i="1"/>
  <c r="A112" i="1"/>
  <c r="B112" i="1"/>
  <c r="C112" i="1"/>
  <c r="D112" i="1"/>
  <c r="E112" i="1"/>
  <c r="F112" i="1"/>
  <c r="A113" i="1"/>
  <c r="B113" i="1"/>
  <c r="C113" i="1"/>
  <c r="D113" i="1"/>
  <c r="E113" i="1"/>
  <c r="F113" i="1"/>
  <c r="A114" i="1"/>
  <c r="B114" i="1"/>
  <c r="C114" i="1"/>
  <c r="D114" i="1"/>
  <c r="E114" i="1"/>
  <c r="F114" i="1"/>
  <c r="A115" i="1"/>
  <c r="B115" i="1"/>
  <c r="C115" i="1"/>
  <c r="D115" i="1"/>
  <c r="E115" i="1"/>
  <c r="F115" i="1"/>
  <c r="A116" i="1"/>
  <c r="B116" i="1"/>
  <c r="C116" i="1"/>
  <c r="D116" i="1"/>
  <c r="E116" i="1"/>
  <c r="F116" i="1"/>
  <c r="A117" i="1"/>
  <c r="B117" i="1"/>
  <c r="C117" i="1"/>
  <c r="D117" i="1"/>
  <c r="E117" i="1"/>
  <c r="F117" i="1"/>
  <c r="A118" i="1"/>
  <c r="B118" i="1"/>
  <c r="C118" i="1"/>
  <c r="D118" i="1"/>
  <c r="E118" i="1"/>
  <c r="F118" i="1"/>
  <c r="A119" i="1"/>
  <c r="B119" i="1"/>
  <c r="C119" i="1"/>
  <c r="D119" i="1"/>
  <c r="E119" i="1"/>
  <c r="F119" i="1"/>
  <c r="A120" i="1"/>
  <c r="B120" i="1"/>
  <c r="C120" i="1"/>
  <c r="D120" i="1"/>
  <c r="E120" i="1"/>
  <c r="F120" i="1"/>
  <c r="A121" i="1"/>
  <c r="B121" i="1"/>
  <c r="C121" i="1"/>
  <c r="D121" i="1"/>
  <c r="E121" i="1"/>
  <c r="F121" i="1"/>
  <c r="A122" i="1"/>
  <c r="B122" i="1"/>
  <c r="C122" i="1"/>
  <c r="D122" i="1"/>
  <c r="E122" i="1"/>
  <c r="F122" i="1"/>
  <c r="A123" i="1"/>
  <c r="B123" i="1"/>
  <c r="C123" i="1"/>
  <c r="D123" i="1"/>
  <c r="E123" i="1"/>
  <c r="F123" i="1"/>
  <c r="A124" i="1"/>
  <c r="B124" i="1"/>
  <c r="C124" i="1"/>
  <c r="D124" i="1"/>
  <c r="E124" i="1"/>
  <c r="F124" i="1"/>
  <c r="A125" i="1"/>
  <c r="B125" i="1"/>
  <c r="C125" i="1"/>
  <c r="D125" i="1"/>
  <c r="E125" i="1"/>
  <c r="F125" i="1"/>
  <c r="A126" i="1"/>
  <c r="B126" i="1"/>
  <c r="C126" i="1"/>
  <c r="D126" i="1"/>
  <c r="E126" i="1"/>
  <c r="F126" i="1"/>
  <c r="A127" i="1"/>
  <c r="B127" i="1"/>
  <c r="C127" i="1"/>
  <c r="D127" i="1"/>
  <c r="E127" i="1"/>
  <c r="F127" i="1"/>
  <c r="A128" i="1"/>
  <c r="B128" i="1"/>
  <c r="C128" i="1"/>
  <c r="D128" i="1"/>
  <c r="E128" i="1"/>
  <c r="F128" i="1"/>
  <c r="A129" i="1"/>
  <c r="B129" i="1"/>
  <c r="C129" i="1"/>
  <c r="D129" i="1"/>
  <c r="E129" i="1"/>
  <c r="F129" i="1"/>
  <c r="A130" i="1"/>
  <c r="B130" i="1"/>
  <c r="C130" i="1"/>
  <c r="D130" i="1"/>
  <c r="E130" i="1"/>
  <c r="F130" i="1"/>
  <c r="A131" i="1"/>
  <c r="B131" i="1"/>
  <c r="C131" i="1"/>
  <c r="D131" i="1"/>
  <c r="E131" i="1"/>
  <c r="F131" i="1"/>
  <c r="A132" i="1"/>
  <c r="B132" i="1"/>
  <c r="C132" i="1"/>
  <c r="D132" i="1"/>
  <c r="E132" i="1"/>
  <c r="F132" i="1"/>
  <c r="A133" i="1"/>
  <c r="B133" i="1"/>
  <c r="C133" i="1"/>
  <c r="D133" i="1"/>
  <c r="E133" i="1"/>
  <c r="F133" i="1"/>
  <c r="A134" i="1"/>
  <c r="B134" i="1"/>
  <c r="C134" i="1"/>
  <c r="D134" i="1"/>
  <c r="E134" i="1"/>
  <c r="F134" i="1"/>
  <c r="A135" i="1"/>
  <c r="B135" i="1"/>
  <c r="C135" i="1"/>
  <c r="D135" i="1"/>
  <c r="E135" i="1"/>
  <c r="F135" i="1"/>
  <c r="A136" i="1"/>
  <c r="B136" i="1"/>
  <c r="C136" i="1"/>
  <c r="D136" i="1"/>
  <c r="E136" i="1"/>
  <c r="F136" i="1"/>
  <c r="A137" i="1"/>
  <c r="B137" i="1"/>
  <c r="C137" i="1"/>
  <c r="D137" i="1"/>
  <c r="E137" i="1"/>
  <c r="F137" i="1"/>
  <c r="A138" i="1"/>
  <c r="B138" i="1"/>
  <c r="C138" i="1"/>
  <c r="D138" i="1"/>
  <c r="E138" i="1"/>
  <c r="F138" i="1"/>
  <c r="A139" i="1"/>
  <c r="B139" i="1"/>
  <c r="C139" i="1"/>
  <c r="D139" i="1"/>
  <c r="E139" i="1"/>
  <c r="F139" i="1"/>
  <c r="A140" i="1"/>
  <c r="B140" i="1"/>
  <c r="C140" i="1"/>
  <c r="D140" i="1"/>
  <c r="E140" i="1"/>
  <c r="F140" i="1"/>
  <c r="A141" i="1"/>
  <c r="B141" i="1"/>
  <c r="C141" i="1"/>
  <c r="D141" i="1"/>
  <c r="E141" i="1"/>
  <c r="F141" i="1"/>
  <c r="A142" i="1"/>
  <c r="B142" i="1"/>
  <c r="C142" i="1"/>
  <c r="D142" i="1"/>
  <c r="E142" i="1"/>
  <c r="F142" i="1"/>
  <c r="A143" i="1"/>
  <c r="B143" i="1"/>
  <c r="C143" i="1"/>
  <c r="D143" i="1"/>
  <c r="E143" i="1"/>
  <c r="F143" i="1"/>
  <c r="A144" i="1"/>
  <c r="B144" i="1"/>
  <c r="C144" i="1"/>
  <c r="D144" i="1"/>
  <c r="E144" i="1"/>
  <c r="F144" i="1"/>
  <c r="A145" i="1"/>
  <c r="B145" i="1"/>
  <c r="C145" i="1"/>
  <c r="D145" i="1"/>
  <c r="E145" i="1"/>
  <c r="F145" i="1"/>
  <c r="A146" i="1"/>
  <c r="B146" i="1"/>
  <c r="C146" i="1"/>
  <c r="D146" i="1"/>
  <c r="E146" i="1"/>
  <c r="F146" i="1"/>
  <c r="A147" i="1"/>
  <c r="B147" i="1"/>
  <c r="C147" i="1"/>
  <c r="D147" i="1"/>
  <c r="E147" i="1"/>
  <c r="F147" i="1"/>
  <c r="A148" i="1"/>
  <c r="B148" i="1"/>
  <c r="C148" i="1"/>
  <c r="D148" i="1"/>
  <c r="E148" i="1"/>
  <c r="F148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H2" i="1"/>
  <c r="G2" i="1"/>
  <c r="G1" i="1"/>
  <c r="H1" i="1"/>
  <c r="B2" i="1"/>
  <c r="C2" i="1"/>
  <c r="D2" i="1"/>
  <c r="E2" i="1"/>
  <c r="F2" i="1"/>
  <c r="B3" i="1"/>
  <c r="C3" i="1"/>
  <c r="D3" i="1"/>
  <c r="E3" i="1"/>
  <c r="F3" i="1"/>
  <c r="B4" i="1"/>
  <c r="C4" i="1"/>
  <c r="D4" i="1"/>
  <c r="E4" i="1"/>
  <c r="F4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A1" i="1"/>
</calcChain>
</file>

<file path=xl/sharedStrings.xml><?xml version="1.0" encoding="utf-8"?>
<sst xmlns="http://schemas.openxmlformats.org/spreadsheetml/2006/main" count="51" uniqueCount="50">
  <si>
    <t>Details</t>
  </si>
  <si>
    <t>Notes</t>
  </si>
  <si>
    <t>Initials</t>
  </si>
  <si>
    <t>Date</t>
  </si>
  <si>
    <t>Name</t>
  </si>
  <si>
    <t>Key</t>
  </si>
  <si>
    <t>Public</t>
  </si>
  <si>
    <t>Foreign Matter</t>
  </si>
  <si>
    <t>Water Activity</t>
  </si>
  <si>
    <t>moisture</t>
  </si>
  <si>
    <t>water_activity</t>
  </si>
  <si>
    <t>KLS</t>
  </si>
  <si>
    <t>cannabinoids</t>
  </si>
  <si>
    <t>heavy_metals</t>
  </si>
  <si>
    <t>microbiology</t>
  </si>
  <si>
    <t>Analysis ID</t>
  </si>
  <si>
    <t>Price</t>
  </si>
  <si>
    <t>Analytes</t>
  </si>
  <si>
    <t>PTCY</t>
  </si>
  <si>
    <t>TERP</t>
  </si>
  <si>
    <t>MICR</t>
  </si>
  <si>
    <t>MYCO</t>
  </si>
  <si>
    <t>PEST</t>
  </si>
  <si>
    <t>HEAV</t>
  </si>
  <si>
    <t>RES</t>
  </si>
  <si>
    <t>WA</t>
  </si>
  <si>
    <t>MOIS</t>
  </si>
  <si>
    <t>FORE</t>
  </si>
  <si>
    <t>terpenes</t>
  </si>
  <si>
    <t>mycotoxins</t>
  </si>
  <si>
    <t>pesticides</t>
  </si>
  <si>
    <t>residual_solvents</t>
  </si>
  <si>
    <t>moisture_content</t>
  </si>
  <si>
    <t>foreign matter</t>
  </si>
  <si>
    <t>Cannabinoids</t>
  </si>
  <si>
    <t>Terpenes</t>
  </si>
  <si>
    <t>Microbiology</t>
  </si>
  <si>
    <t>Mycotoxins</t>
  </si>
  <si>
    <t>Pesticides</t>
  </si>
  <si>
    <t>Heavy Metals</t>
  </si>
  <si>
    <t>Residual Solvents</t>
  </si>
  <si>
    <t>Moisture Content</t>
  </si>
  <si>
    <t>cbc, cbd, cbda, cbdv, cbg, cbga, cbn, thca, thcv, delta_8_thc, delta_9_thc, cbl</t>
  </si>
  <si>
    <t>alpha_pinene, camphene, beta_pinene, beta_myrcene, eucalyptol, caryophyllene_oxide, carene, alpha_terpinene, p_cymene, delta_limonene, ocimene, y_terpinene, terpinolene, linalool, geraniol, beta_caryophyllene, alpha_humulene, isopulegol, guaiol, cis_nerolidol, trans_nerolidol, alpha_bisabolol</t>
  </si>
  <si>
    <t>aspergillus_n, aspergillus_fu, aspergillus_t, aspergillus_fl</t>
  </si>
  <si>
    <t>total_aflatoxins, ochratoxin</t>
  </si>
  <si>
    <t>spiromesifen, spirotetramat, tebuconazole, etoxazole, imazalil, imidacloprid, malathion, myclobutanil, azoxystrobin, bifenazate, abamectin, permethrin, spinosad</t>
  </si>
  <si>
    <t>arsenic, cadmium, lead, mercury</t>
  </si>
  <si>
    <t>acetone, benzene, butanes, ethanol, ethyl_acetate, heptanes, hexane, isopropyl_alcohol, methanol, pentane, propane, toluene, m_p_xylenes</t>
  </si>
  <si>
    <t>inorganic_material, organic_material, foreign_matter, biological_chemical_agent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</si>
</sst>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21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2" xfId="1" applyBorder="1" applyAlignment="1">
      <alignment horizontal="left"/>
    </xf>
    <xf numFmtId="14" fontId="2" fillId="0" borderId="2" xfId="1" applyNumberFormat="1" applyBorder="1" applyAlignment="1">
      <alignment horizontal="center"/>
    </xf>
    <xf numFmtId="0" fontId="2" fillId="0" borderId="2" xfId="1" applyFill="1" applyBorder="1" applyAlignment="1">
      <alignment horizontal="left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0" fontId="0" fillId="3" borderId="1" xfId="0" applyFont="1" applyFill="1" applyBorder="1"/>
    <xf numFmtId="14" fontId="0" fillId="0" borderId="0" xfId="0" applyNumberFormat="1"/>
    <xf numFmtId="0" fontId="2" fillId="0" borderId="0" xfId="1" applyBorder="1" applyAlignment="1"/>
    <xf numFmtId="0" fontId="2" fillId="0" borderId="0" xfId="1" applyAlignment="1"/>
    <xf numFmtId="0" fontId="2" fillId="0" borderId="2" xfId="1" applyFont="1" applyFill="1" applyBorder="1" applyAlignment="1">
      <alignment horizontal="left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11</xdr:col>
          <xdr:colOff>6350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view="pageLayout" zoomScaleNormal="75" workbookViewId="0">
      <selection activeCell="D9" sqref="D9"/>
    </sheetView>
  </sheetViews>
  <sheetFormatPr defaultColWidth="8.54296875" defaultRowHeight="13" x14ac:dyDescent="0.3"/>
  <cols>
    <col min="1" max="10" width="11.81640625" style="1" customWidth="1"/>
    <col min="11" max="11" width="11.81640625" style="19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18"/>
    </row>
    <row r="2" spans="1:11" ht="15" customHeight="1" x14ac:dyDescent="0.3">
      <c r="A2" s="13" t="s">
        <v>0</v>
      </c>
      <c r="B2" s="14"/>
      <c r="C2" s="15"/>
      <c r="D2" s="13" t="s">
        <v>1</v>
      </c>
      <c r="E2" s="14"/>
      <c r="F2" s="14"/>
      <c r="G2" s="14"/>
      <c r="H2" s="14"/>
      <c r="I2" s="14"/>
      <c r="J2" s="14"/>
      <c r="K2" s="15"/>
    </row>
    <row r="3" spans="1:11" ht="15" customHeight="1" x14ac:dyDescent="0.3">
      <c r="A3" s="4" t="s">
        <v>2</v>
      </c>
      <c r="B3" s="7" t="s">
        <v>11</v>
      </c>
      <c r="C3" s="7"/>
      <c r="D3" s="8"/>
      <c r="E3" s="8"/>
      <c r="F3" s="8"/>
      <c r="G3" s="8"/>
      <c r="H3" s="8"/>
      <c r="I3" s="8"/>
      <c r="J3" s="8"/>
      <c r="K3" s="9"/>
    </row>
    <row r="4" spans="1:11" ht="15" customHeight="1" x14ac:dyDescent="0.3">
      <c r="A4" s="4" t="s">
        <v>3</v>
      </c>
      <c r="B4" s="11">
        <v>44393</v>
      </c>
      <c r="C4" s="7"/>
      <c r="D4" s="8"/>
      <c r="E4" s="8"/>
      <c r="F4" s="8"/>
      <c r="G4" s="8"/>
      <c r="H4" s="8"/>
      <c r="I4" s="8"/>
      <c r="J4" s="8"/>
      <c r="K4" s="9"/>
    </row>
    <row r="5" spans="1:11" ht="14.5" customHeight="1" x14ac:dyDescent="0.3">
      <c r="A5" s="4"/>
      <c r="B5" s="7"/>
      <c r="C5" s="7"/>
      <c r="D5" s="8"/>
      <c r="E5" s="8"/>
      <c r="F5" s="8"/>
      <c r="G5" s="8"/>
      <c r="H5" s="8"/>
      <c r="I5" s="8"/>
      <c r="J5" s="8"/>
      <c r="K5" s="9"/>
    </row>
    <row r="6" spans="1:11" ht="14.5" customHeight="1" x14ac:dyDescent="0.3">
      <c r="A6" s="4"/>
      <c r="B6" s="7"/>
      <c r="C6" s="7"/>
      <c r="D6" s="8"/>
      <c r="E6" s="8"/>
      <c r="F6" s="8"/>
      <c r="G6" s="8"/>
      <c r="H6" s="8"/>
      <c r="I6" s="8"/>
      <c r="J6" s="8"/>
      <c r="K6" s="9"/>
    </row>
    <row r="7" spans="1:11" ht="15" customHeight="1" x14ac:dyDescent="0.3">
      <c r="A7" s="4" t="s">
        <v>15</v>
      </c>
      <c r="B7" s="4" t="s">
        <v>4</v>
      </c>
      <c r="C7" s="4" t="s">
        <v>5</v>
      </c>
      <c r="D7" s="4" t="s">
        <v>16</v>
      </c>
      <c r="E7" s="4" t="s">
        <v>6</v>
      </c>
      <c r="F7" s="4" t="s">
        <v>17</v>
      </c>
      <c r="G7" s="4"/>
      <c r="H7" s="4"/>
      <c r="I7" s="4"/>
      <c r="J7" s="4"/>
      <c r="K7" s="4"/>
    </row>
    <row r="8" spans="1:11" x14ac:dyDescent="0.3">
      <c r="A8" s="12" t="s">
        <v>18</v>
      </c>
      <c r="B8" s="12" t="s">
        <v>34</v>
      </c>
      <c r="C8" s="12" t="s">
        <v>12</v>
      </c>
      <c r="D8" s="12"/>
      <c r="E8" s="12"/>
      <c r="F8" s="12" t="s">
        <v>42</v>
      </c>
      <c r="G8" s="12"/>
      <c r="H8" s="12"/>
      <c r="I8" s="12"/>
      <c r="J8" s="10"/>
      <c r="K8" s="10"/>
    </row>
    <row r="9" spans="1:11" x14ac:dyDescent="0.3">
      <c r="A9" s="12" t="s">
        <v>19</v>
      </c>
      <c r="B9" s="12" t="s">
        <v>35</v>
      </c>
      <c r="C9" s="12" t="s">
        <v>28</v>
      </c>
      <c r="D9" s="12"/>
      <c r="E9" s="12"/>
      <c r="F9" s="12" t="s">
        <v>43</v>
      </c>
      <c r="G9" s="12"/>
      <c r="H9" s="12"/>
      <c r="I9" s="12"/>
      <c r="J9" s="10"/>
      <c r="K9" s="10"/>
    </row>
    <row r="10" spans="1:11" x14ac:dyDescent="0.3">
      <c r="A10" s="12" t="s">
        <v>20</v>
      </c>
      <c r="B10" s="12" t="s">
        <v>36</v>
      </c>
      <c r="C10" s="12" t="s">
        <v>14</v>
      </c>
      <c r="D10" s="12"/>
      <c r="E10" s="12"/>
      <c r="F10" s="12" t="s">
        <v>44</v>
      </c>
      <c r="G10" s="12"/>
      <c r="H10" s="12"/>
      <c r="I10" s="12"/>
      <c r="J10" s="10"/>
      <c r="K10" s="10"/>
    </row>
    <row r="11" spans="1:11" x14ac:dyDescent="0.3">
      <c r="A11" s="20" t="s">
        <v>21</v>
      </c>
      <c r="B11" s="20" t="s">
        <v>37</v>
      </c>
      <c r="C11" s="20" t="s">
        <v>29</v>
      </c>
      <c r="D11" s="20"/>
      <c r="E11" s="20"/>
      <c r="F11" s="20" t="s">
        <v>45</v>
      </c>
      <c r="G11" s="20"/>
      <c r="H11" s="20"/>
      <c r="I11" s="20"/>
      <c r="J11" s="10"/>
      <c r="K11" s="10"/>
    </row>
    <row r="12" spans="1:11" ht="14.5" customHeight="1" x14ac:dyDescent="0.3">
      <c r="A12" s="20" t="s">
        <v>22</v>
      </c>
      <c r="B12" s="20" t="s">
        <v>38</v>
      </c>
      <c r="C12" s="20" t="s">
        <v>30</v>
      </c>
      <c r="D12" s="20"/>
      <c r="E12" s="20"/>
      <c r="F12" s="20" t="s">
        <v>46</v>
      </c>
      <c r="G12" s="20"/>
      <c r="H12" s="20"/>
      <c r="I12" s="20"/>
      <c r="J12" s="10"/>
      <c r="K12" s="10"/>
    </row>
    <row r="13" spans="1:11" ht="14.5" customHeight="1" x14ac:dyDescent="0.3">
      <c r="A13" s="20" t="s">
        <v>23</v>
      </c>
      <c r="B13" s="20" t="s">
        <v>39</v>
      </c>
      <c r="C13" s="20" t="s">
        <v>13</v>
      </c>
      <c r="D13" s="20"/>
      <c r="E13" s="20"/>
      <c r="F13" s="20" t="s">
        <v>47</v>
      </c>
      <c r="G13" s="20"/>
      <c r="H13" s="20"/>
      <c r="I13" s="20"/>
      <c r="J13" s="12"/>
      <c r="K13" s="10"/>
    </row>
    <row r="14" spans="1:11" ht="14.5" customHeight="1" x14ac:dyDescent="0.3">
      <c r="A14" s="20" t="s">
        <v>24</v>
      </c>
      <c r="B14" s="20" t="s">
        <v>40</v>
      </c>
      <c r="C14" s="20" t="s">
        <v>31</v>
      </c>
      <c r="D14" s="20"/>
      <c r="E14" s="20"/>
      <c r="F14" s="20" t="s">
        <v>48</v>
      </c>
      <c r="G14" s="20"/>
      <c r="H14" s="20"/>
      <c r="I14" s="20"/>
      <c r="J14" s="12"/>
      <c r="K14" s="10"/>
    </row>
    <row r="15" spans="1:11" ht="14.5" customHeight="1" x14ac:dyDescent="0.3">
      <c r="A15" s="20" t="s">
        <v>25</v>
      </c>
      <c r="B15" s="20" t="s">
        <v>8</v>
      </c>
      <c r="C15" s="20" t="s">
        <v>10</v>
      </c>
      <c r="D15" s="20"/>
      <c r="E15" s="20"/>
      <c r="F15" s="20" t="s">
        <v>10</v>
      </c>
      <c r="G15" s="20"/>
      <c r="H15" s="20"/>
      <c r="I15" s="20"/>
      <c r="J15" s="12"/>
      <c r="K15" s="10"/>
    </row>
    <row r="16" spans="1:11" ht="14.5" customHeight="1" x14ac:dyDescent="0.3">
      <c r="A16" s="20" t="s">
        <v>26</v>
      </c>
      <c r="B16" s="20" t="s">
        <v>41</v>
      </c>
      <c r="C16" s="20" t="s">
        <v>32</v>
      </c>
      <c r="D16" s="20"/>
      <c r="E16" s="20"/>
      <c r="F16" s="20" t="s">
        <v>9</v>
      </c>
      <c r="G16" s="20"/>
      <c r="H16" s="20"/>
      <c r="I16" s="20"/>
      <c r="J16" s="12"/>
      <c r="K16" s="10"/>
    </row>
    <row r="17" spans="1:11" ht="14.5" customHeight="1" x14ac:dyDescent="0.3">
      <c r="A17" s="20" t="s">
        <v>27</v>
      </c>
      <c r="B17" s="20" t="s">
        <v>7</v>
      </c>
      <c r="C17" s="20" t="s">
        <v>33</v>
      </c>
      <c r="D17" s="20"/>
      <c r="E17" s="20"/>
      <c r="F17" s="20" t="s">
        <v>49</v>
      </c>
      <c r="G17" s="20"/>
      <c r="H17" s="20"/>
      <c r="I17" s="20"/>
      <c r="J17" s="12"/>
      <c r="K17" s="10"/>
    </row>
    <row r="18" spans="1:11" ht="14.5" customHeight="1" x14ac:dyDescent="0.3">
      <c r="A18" s="20"/>
      <c r="B18" s="20"/>
      <c r="C18" s="20"/>
      <c r="D18" s="20"/>
      <c r="E18" s="20"/>
      <c r="F18" s="20"/>
      <c r="G18" s="20"/>
      <c r="H18" s="20"/>
      <c r="I18" s="20"/>
      <c r="J18" s="12"/>
      <c r="K18" s="10"/>
    </row>
    <row r="19" spans="1:11" ht="14.5" customHeight="1" x14ac:dyDescent="0.3">
      <c r="A19" s="20"/>
      <c r="B19" s="20"/>
      <c r="C19" s="20"/>
      <c r="D19" s="20"/>
      <c r="E19" s="20"/>
      <c r="F19" s="20"/>
      <c r="G19" s="20"/>
      <c r="H19" s="20"/>
      <c r="I19" s="20"/>
      <c r="J19" s="12"/>
      <c r="K19" s="10"/>
    </row>
    <row r="20" spans="1:11" ht="1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12"/>
      <c r="K20" s="10"/>
    </row>
    <row r="21" spans="1:11" ht="14.5" customHeight="1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4.5" customHeight="1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0"/>
    </row>
    <row r="23" spans="1:11" ht="14.5" customHeight="1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0"/>
    </row>
    <row r="24" spans="1:11" ht="14.5" customHeight="1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0"/>
    </row>
    <row r="25" spans="1:11" ht="14.5" customHeight="1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0"/>
    </row>
    <row r="26" spans="1:11" ht="14.5" customHeight="1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0"/>
    </row>
    <row r="27" spans="1:11" ht="14.5" customHeight="1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0"/>
    </row>
    <row r="28" spans="1:11" ht="14.5" customHeight="1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0"/>
    </row>
    <row r="29" spans="1:11" ht="14.5" customHeight="1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0"/>
    </row>
    <row r="30" spans="1:11" ht="14.5" customHeight="1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0"/>
    </row>
    <row r="31" spans="1:11" ht="14.5" customHeight="1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0"/>
    </row>
    <row r="32" spans="1:11" ht="14.5" customHeight="1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0"/>
    </row>
    <row r="33" spans="1:11" ht="15" customHeigh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0"/>
    </row>
    <row r="34" spans="1:11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0"/>
    </row>
    <row r="35" spans="1:1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0"/>
    </row>
  </sheetData>
  <mergeCells count="7">
    <mergeCell ref="D2:K2"/>
    <mergeCell ref="A2:C2"/>
    <mergeCell ref="B3:C3"/>
    <mergeCell ref="B4:C4"/>
    <mergeCell ref="B5:C5"/>
    <mergeCell ref="B6:C6"/>
    <mergeCell ref="D3:K6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&amp;CAnalyses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11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H148"/>
  <sheetViews>
    <sheetView tabSelected="1" workbookViewId="0">
      <selection activeCell="A12" sqref="A12"/>
    </sheetView>
  </sheetViews>
  <sheetFormatPr defaultRowHeight="14.5" x14ac:dyDescent="0.35"/>
  <cols>
    <col min="1" max="6" width="12.6328125" customWidth="1"/>
    <col min="8" max="8" width="9.453125" bestFit="1" customWidth="1"/>
  </cols>
  <sheetData>
    <row r="1" spans="1:8" s="2" customFormat="1" x14ac:dyDescent="0.35">
      <c r="A1" s="16" t="str">
        <f>Worksheet!A7</f>
        <v>Analysis ID</v>
      </c>
      <c r="B1" s="16" t="str">
        <f>Worksheet!B7</f>
        <v>Name</v>
      </c>
      <c r="C1" s="16" t="str">
        <f>Worksheet!C7</f>
        <v>Key</v>
      </c>
      <c r="D1" s="16" t="str">
        <f>Worksheet!D7</f>
        <v>Price</v>
      </c>
      <c r="E1" s="16" t="str">
        <f>Worksheet!E7</f>
        <v>Public</v>
      </c>
      <c r="F1" s="16" t="str">
        <f>Worksheet!F7</f>
        <v>Analytes</v>
      </c>
      <c r="G1" s="16" t="str">
        <f>Worksheet!A3</f>
        <v>Initials</v>
      </c>
      <c r="H1" s="16" t="str">
        <f>Worksheet!A4</f>
        <v>Date</v>
      </c>
    </row>
    <row r="2" spans="1:8" x14ac:dyDescent="0.35">
      <c r="A2" s="5" t="str">
        <f>Worksheet!A8</f>
        <v>PTCY</v>
      </c>
      <c r="B2" s="5" t="str">
        <f>Worksheet!B8</f>
        <v>Cannabinoids</v>
      </c>
      <c r="C2" s="5" t="str">
        <f>Worksheet!C8</f>
        <v>cannabinoids</v>
      </c>
      <c r="D2" s="5">
        <f>Worksheet!D8</f>
        <v>0</v>
      </c>
      <c r="E2" s="5">
        <f>Worksheet!E8</f>
        <v>0</v>
      </c>
      <c r="F2" s="5" t="str">
        <f>Worksheet!F8</f>
        <v>cbc, cbd, cbda, cbdv, cbg, cbga, cbn, thca, thcv, delta_8_thc, delta_9_thc, cbl</v>
      </c>
      <c r="G2" t="str">
        <f>Worksheet!$B$3</f>
        <v>KLS</v>
      </c>
      <c r="H2" s="17">
        <f>Worksheet!$B$4</f>
        <v>44393</v>
      </c>
    </row>
    <row r="3" spans="1:8" x14ac:dyDescent="0.35">
      <c r="A3" s="5" t="str">
        <f>Worksheet!A9</f>
        <v>TERP</v>
      </c>
      <c r="B3" s="5" t="str">
        <f>Worksheet!B9</f>
        <v>Terpenes</v>
      </c>
      <c r="C3" s="5" t="str">
        <f>Worksheet!C9</f>
        <v>terpenes</v>
      </c>
      <c r="D3" s="5">
        <f>Worksheet!D9</f>
        <v>0</v>
      </c>
      <c r="E3" s="5">
        <f>Worksheet!E9</f>
        <v>0</v>
      </c>
      <c r="F3" s="5" t="str">
        <f>Worksheet!F9</f>
        <v>alpha_pinene, camphene, beta_pinene, beta_myrcene, eucalyptol, caryophyllene_oxide, carene, alpha_terpinene, p_cymene, delta_limonene, ocimene, y_terpinene, terpinolene, linalool, geraniol, beta_caryophyllene, alpha_humulene, isopulegol, guaiol, cis_nerolidol, trans_nerolidol, alpha_bisabolol</v>
      </c>
      <c r="G3" t="str">
        <f>Worksheet!$B$3</f>
        <v>KLS</v>
      </c>
      <c r="H3" s="17">
        <f>Worksheet!$B$4</f>
        <v>44393</v>
      </c>
    </row>
    <row r="4" spans="1:8" x14ac:dyDescent="0.35">
      <c r="A4" s="5" t="str">
        <f>Worksheet!A10</f>
        <v>MICR</v>
      </c>
      <c r="B4" s="5" t="str">
        <f>Worksheet!B10</f>
        <v>Microbiology</v>
      </c>
      <c r="C4" s="5" t="str">
        <f>Worksheet!C10</f>
        <v>microbiology</v>
      </c>
      <c r="D4" s="5">
        <f>Worksheet!D10</f>
        <v>0</v>
      </c>
      <c r="E4" s="5">
        <f>Worksheet!E10</f>
        <v>0</v>
      </c>
      <c r="F4" s="5" t="str">
        <f>Worksheet!F10</f>
        <v>aspergillus_n, aspergillus_fu, aspergillus_t, aspergillus_fl</v>
      </c>
      <c r="G4" t="str">
        <f>Worksheet!$B$3</f>
        <v>KLS</v>
      </c>
      <c r="H4" s="17">
        <f>Worksheet!$B$4</f>
        <v>44393</v>
      </c>
    </row>
    <row r="5" spans="1:8" x14ac:dyDescent="0.35">
      <c r="A5" s="5" t="str">
        <f>Worksheet!A11</f>
        <v>MYCO</v>
      </c>
      <c r="B5" s="5" t="str">
        <f>Worksheet!B11</f>
        <v>Mycotoxins</v>
      </c>
      <c r="C5" s="5" t="str">
        <f>Worksheet!C11</f>
        <v>mycotoxins</v>
      </c>
      <c r="D5" s="5">
        <f>Worksheet!D11</f>
        <v>0</v>
      </c>
      <c r="E5" s="5">
        <f>Worksheet!E11</f>
        <v>0</v>
      </c>
      <c r="F5" s="5" t="str">
        <f>Worksheet!F11</f>
        <v>total_aflatoxins, ochratoxin</v>
      </c>
      <c r="G5" t="str">
        <f>Worksheet!$B$3</f>
        <v>KLS</v>
      </c>
      <c r="H5" s="17">
        <f>Worksheet!$B$4</f>
        <v>44393</v>
      </c>
    </row>
    <row r="6" spans="1:8" x14ac:dyDescent="0.35">
      <c r="A6" s="5" t="str">
        <f>Worksheet!A12</f>
        <v>PEST</v>
      </c>
      <c r="B6" s="5" t="str">
        <f>Worksheet!B12</f>
        <v>Pesticides</v>
      </c>
      <c r="C6" s="5" t="str">
        <f>Worksheet!C12</f>
        <v>pesticides</v>
      </c>
      <c r="D6" s="5">
        <f>Worksheet!D12</f>
        <v>0</v>
      </c>
      <c r="E6" s="5">
        <f>Worksheet!E12</f>
        <v>0</v>
      </c>
      <c r="F6" s="5" t="str">
        <f>Worksheet!F12</f>
        <v>spiromesifen, spirotetramat, tebuconazole, etoxazole, imazalil, imidacloprid, malathion, myclobutanil, azoxystrobin, bifenazate, abamectin, permethrin, spinosad</v>
      </c>
      <c r="G6" t="str">
        <f>Worksheet!$B$3</f>
        <v>KLS</v>
      </c>
      <c r="H6" s="17">
        <f>Worksheet!$B$4</f>
        <v>44393</v>
      </c>
    </row>
    <row r="7" spans="1:8" x14ac:dyDescent="0.35">
      <c r="A7" s="5" t="str">
        <f>Worksheet!A13</f>
        <v>HEAV</v>
      </c>
      <c r="B7" s="5" t="str">
        <f>Worksheet!B13</f>
        <v>Heavy Metals</v>
      </c>
      <c r="C7" s="6" t="str">
        <f>Worksheet!C13</f>
        <v>heavy_metals</v>
      </c>
      <c r="D7" s="5">
        <f>Worksheet!D13</f>
        <v>0</v>
      </c>
      <c r="E7" s="5">
        <f>Worksheet!E13</f>
        <v>0</v>
      </c>
      <c r="F7" s="5" t="str">
        <f>Worksheet!F13</f>
        <v>arsenic, cadmium, lead, mercury</v>
      </c>
      <c r="G7" t="str">
        <f>Worksheet!$B$3</f>
        <v>KLS</v>
      </c>
      <c r="H7" s="17">
        <f>Worksheet!$B$4</f>
        <v>44393</v>
      </c>
    </row>
    <row r="8" spans="1:8" x14ac:dyDescent="0.35">
      <c r="A8" s="5" t="str">
        <f>Worksheet!A14</f>
        <v>RES</v>
      </c>
      <c r="B8" s="5" t="str">
        <f>Worksheet!B14</f>
        <v>Residual Solvents</v>
      </c>
      <c r="C8" s="5" t="str">
        <f>Worksheet!C14</f>
        <v>residual_solvents</v>
      </c>
      <c r="D8" s="5">
        <f>Worksheet!D14</f>
        <v>0</v>
      </c>
      <c r="E8" s="5">
        <f>Worksheet!E14</f>
        <v>0</v>
      </c>
      <c r="F8" s="5" t="str">
        <f>Worksheet!F14</f>
        <v>acetone, benzene, butanes, ethanol, ethyl_acetate, heptanes, hexane, isopropyl_alcohol, methanol, pentane, propane, toluene, m_p_xylenes</v>
      </c>
      <c r="G8" t="str">
        <f>Worksheet!$B$3</f>
        <v>KLS</v>
      </c>
      <c r="H8" s="17">
        <f>Worksheet!$B$4</f>
        <v>44393</v>
      </c>
    </row>
    <row r="9" spans="1:8" x14ac:dyDescent="0.35">
      <c r="A9" s="5" t="str">
        <f>Worksheet!A15</f>
        <v>WA</v>
      </c>
      <c r="B9" s="5" t="str">
        <f>Worksheet!B15</f>
        <v>Water Activity</v>
      </c>
      <c r="C9" s="5" t="str">
        <f>Worksheet!C15</f>
        <v>water_activity</v>
      </c>
      <c r="D9" s="5">
        <f>Worksheet!D15</f>
        <v>0</v>
      </c>
      <c r="E9" s="5">
        <f>Worksheet!E15</f>
        <v>0</v>
      </c>
      <c r="F9" s="5" t="str">
        <f>Worksheet!F15</f>
        <v>water_activity</v>
      </c>
      <c r="G9" t="str">
        <f>Worksheet!$B$3</f>
        <v>KLS</v>
      </c>
      <c r="H9" s="17">
        <f>Worksheet!$B$4</f>
        <v>44393</v>
      </c>
    </row>
    <row r="10" spans="1:8" x14ac:dyDescent="0.35">
      <c r="A10" s="5" t="str">
        <f>Worksheet!A16</f>
        <v>MOIS</v>
      </c>
      <c r="B10" s="5" t="str">
        <f>Worksheet!B16</f>
        <v>Moisture Content</v>
      </c>
      <c r="C10" s="5" t="str">
        <f>Worksheet!C16</f>
        <v>moisture_content</v>
      </c>
      <c r="D10" s="5">
        <f>Worksheet!D16</f>
        <v>0</v>
      </c>
      <c r="E10" s="5">
        <f>Worksheet!E16</f>
        <v>0</v>
      </c>
      <c r="F10" s="5" t="str">
        <f>Worksheet!F16</f>
        <v>moisture</v>
      </c>
      <c r="G10" t="str">
        <f>Worksheet!$B$3</f>
        <v>KLS</v>
      </c>
      <c r="H10" s="17">
        <f>Worksheet!$B$4</f>
        <v>44393</v>
      </c>
    </row>
    <row r="11" spans="1:8" x14ac:dyDescent="0.35">
      <c r="A11" s="5" t="str">
        <f>Worksheet!A17</f>
        <v>FORE</v>
      </c>
      <c r="B11" s="5" t="str">
        <f>Worksheet!B17</f>
        <v>Foreign Matter</v>
      </c>
      <c r="C11" s="5" t="str">
        <f>Worksheet!C17</f>
        <v>foreign matter</v>
      </c>
      <c r="D11" s="5">
        <f>Worksheet!D17</f>
        <v>0</v>
      </c>
      <c r="E11" s="5">
        <f>Worksheet!E17</f>
        <v>0</v>
      </c>
      <c r="F11" s="5" t="str">
        <f>Worksheet!F17</f>
        <v>inorganic_material, organic_material, foreign_matter, biological_chemical_agent</v>
      </c>
      <c r="G11" t="str">
        <f>Worksheet!$B$3</f>
        <v>KLS</v>
      </c>
      <c r="H11" s="17">
        <f>Worksheet!$B$4</f>
        <v>44393</v>
      </c>
    </row>
    <row r="12" spans="1:8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t="str">
        <f>Worksheet!$B$3</f>
        <v>KLS</v>
      </c>
      <c r="H12" s="17">
        <f>Worksheet!$B$4</f>
        <v>44393</v>
      </c>
    </row>
    <row r="13" spans="1:8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t="str">
        <f>Worksheet!$B$3</f>
        <v>KLS</v>
      </c>
      <c r="H13" s="17">
        <f>Worksheet!$B$4</f>
        <v>44393</v>
      </c>
    </row>
    <row r="14" spans="1:8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t="str">
        <f>Worksheet!$B$3</f>
        <v>KLS</v>
      </c>
      <c r="H14" s="17">
        <f>Worksheet!$B$4</f>
        <v>44393</v>
      </c>
    </row>
    <row r="15" spans="1:8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t="str">
        <f>Worksheet!$B$3</f>
        <v>KLS</v>
      </c>
      <c r="H15" s="17">
        <f>Worksheet!$B$4</f>
        <v>44393</v>
      </c>
    </row>
    <row r="16" spans="1:8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t="str">
        <f>Worksheet!$B$3</f>
        <v>KLS</v>
      </c>
      <c r="H16" s="17">
        <f>Worksheet!$B$4</f>
        <v>44393</v>
      </c>
    </row>
    <row r="17" spans="1:8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t="str">
        <f>Worksheet!$B$3</f>
        <v>KLS</v>
      </c>
      <c r="H17" s="17">
        <f>Worksheet!$B$4</f>
        <v>44393</v>
      </c>
    </row>
    <row r="18" spans="1:8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t="str">
        <f>Worksheet!$B$3</f>
        <v>KLS</v>
      </c>
      <c r="H18" s="17">
        <f>Worksheet!$B$4</f>
        <v>44393</v>
      </c>
    </row>
    <row r="19" spans="1:8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t="str">
        <f>Worksheet!$B$3</f>
        <v>KLS</v>
      </c>
      <c r="H19" s="17">
        <f>Worksheet!$B$4</f>
        <v>44393</v>
      </c>
    </row>
    <row r="20" spans="1:8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t="str">
        <f>Worksheet!$B$3</f>
        <v>KLS</v>
      </c>
      <c r="H20" s="17">
        <f>Worksheet!$B$4</f>
        <v>44393</v>
      </c>
    </row>
    <row r="21" spans="1:8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t="str">
        <f>Worksheet!$B$3</f>
        <v>KLS</v>
      </c>
      <c r="H21" s="17">
        <f>Worksheet!$B$4</f>
        <v>44393</v>
      </c>
    </row>
    <row r="22" spans="1:8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t="str">
        <f>Worksheet!$B$3</f>
        <v>KLS</v>
      </c>
      <c r="H22" s="17">
        <f>Worksheet!$B$4</f>
        <v>44393</v>
      </c>
    </row>
    <row r="23" spans="1:8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t="str">
        <f>Worksheet!$B$3</f>
        <v>KLS</v>
      </c>
      <c r="H23" s="17">
        <f>Worksheet!$B$4</f>
        <v>44393</v>
      </c>
    </row>
    <row r="24" spans="1:8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t="str">
        <f>Worksheet!$B$3</f>
        <v>KLS</v>
      </c>
      <c r="H24" s="17">
        <f>Worksheet!$B$4</f>
        <v>44393</v>
      </c>
    </row>
    <row r="25" spans="1:8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t="str">
        <f>Worksheet!$B$3</f>
        <v>KLS</v>
      </c>
      <c r="H25" s="17">
        <f>Worksheet!$B$4</f>
        <v>44393</v>
      </c>
    </row>
    <row r="26" spans="1:8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t="str">
        <f>Worksheet!$B$3</f>
        <v>KLS</v>
      </c>
      <c r="H26" s="17">
        <f>Worksheet!$B$4</f>
        <v>44393</v>
      </c>
    </row>
    <row r="27" spans="1:8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t="str">
        <f>Worksheet!$B$3</f>
        <v>KLS</v>
      </c>
      <c r="H27" s="17">
        <f>Worksheet!$B$4</f>
        <v>44393</v>
      </c>
    </row>
    <row r="28" spans="1:8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t="str">
        <f>Worksheet!$B$3</f>
        <v>KLS</v>
      </c>
      <c r="H28" s="17">
        <f>Worksheet!$B$4</f>
        <v>44393</v>
      </c>
    </row>
    <row r="29" spans="1:8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t="str">
        <f>Worksheet!$B$3</f>
        <v>KLS</v>
      </c>
      <c r="H29" s="17">
        <f>Worksheet!$B$4</f>
        <v>44393</v>
      </c>
    </row>
    <row r="30" spans="1:8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t="str">
        <f>Worksheet!$B$3</f>
        <v>KLS</v>
      </c>
      <c r="H30" s="17">
        <f>Worksheet!$B$4</f>
        <v>44393</v>
      </c>
    </row>
    <row r="31" spans="1:8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t="str">
        <f>Worksheet!$B$3</f>
        <v>KLS</v>
      </c>
      <c r="H31" s="17">
        <f>Worksheet!$B$4</f>
        <v>44393</v>
      </c>
    </row>
    <row r="32" spans="1:8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t="str">
        <f>Worksheet!$B$3</f>
        <v>KLS</v>
      </c>
      <c r="H32" s="17">
        <f>Worksheet!$B$4</f>
        <v>44393</v>
      </c>
    </row>
    <row r="33" spans="1:8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t="str">
        <f>Worksheet!$B$3</f>
        <v>KLS</v>
      </c>
      <c r="H33" s="17">
        <f>Worksheet!$B$4</f>
        <v>44393</v>
      </c>
    </row>
    <row r="34" spans="1:8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t="str">
        <f>Worksheet!$B$3</f>
        <v>KLS</v>
      </c>
      <c r="H34" s="17">
        <f>Worksheet!$B$4</f>
        <v>44393</v>
      </c>
    </row>
    <row r="35" spans="1:8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t="str">
        <f>Worksheet!$B$3</f>
        <v>KLS</v>
      </c>
      <c r="H35" s="17">
        <f>Worksheet!$B$4</f>
        <v>44393</v>
      </c>
    </row>
    <row r="36" spans="1:8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t="str">
        <f>Worksheet!$B$3</f>
        <v>KLS</v>
      </c>
      <c r="H36" s="17">
        <f>Worksheet!$B$4</f>
        <v>44393</v>
      </c>
    </row>
    <row r="37" spans="1:8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t="str">
        <f>Worksheet!$B$3</f>
        <v>KLS</v>
      </c>
      <c r="H37" s="17">
        <f>Worksheet!$B$4</f>
        <v>44393</v>
      </c>
    </row>
    <row r="38" spans="1:8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t="str">
        <f>Worksheet!$B$3</f>
        <v>KLS</v>
      </c>
      <c r="H38" s="17">
        <f>Worksheet!$B$4</f>
        <v>44393</v>
      </c>
    </row>
    <row r="39" spans="1:8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t="str">
        <f>Worksheet!$B$3</f>
        <v>KLS</v>
      </c>
      <c r="H39" s="17">
        <f>Worksheet!$B$4</f>
        <v>44393</v>
      </c>
    </row>
    <row r="40" spans="1:8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t="str">
        <f>Worksheet!$B$3</f>
        <v>KLS</v>
      </c>
      <c r="H40" s="17">
        <f>Worksheet!$B$4</f>
        <v>44393</v>
      </c>
    </row>
    <row r="41" spans="1:8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t="str">
        <f>Worksheet!$B$3</f>
        <v>KLS</v>
      </c>
      <c r="H41" s="17">
        <f>Worksheet!$B$4</f>
        <v>44393</v>
      </c>
    </row>
    <row r="42" spans="1:8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t="str">
        <f>Worksheet!$B$3</f>
        <v>KLS</v>
      </c>
      <c r="H42" s="17">
        <f>Worksheet!$B$4</f>
        <v>44393</v>
      </c>
    </row>
    <row r="43" spans="1:8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t="str">
        <f>Worksheet!$B$3</f>
        <v>KLS</v>
      </c>
      <c r="H43" s="17">
        <f>Worksheet!$B$4</f>
        <v>44393</v>
      </c>
    </row>
    <row r="44" spans="1:8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t="str">
        <f>Worksheet!$B$3</f>
        <v>KLS</v>
      </c>
      <c r="H44" s="17">
        <f>Worksheet!$B$4</f>
        <v>44393</v>
      </c>
    </row>
    <row r="45" spans="1:8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t="str">
        <f>Worksheet!$B$3</f>
        <v>KLS</v>
      </c>
      <c r="H45" s="17">
        <f>Worksheet!$B$4</f>
        <v>44393</v>
      </c>
    </row>
    <row r="46" spans="1:8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t="str">
        <f>Worksheet!$B$3</f>
        <v>KLS</v>
      </c>
      <c r="H46" s="17">
        <f>Worksheet!$B$4</f>
        <v>44393</v>
      </c>
    </row>
    <row r="47" spans="1:8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t="str">
        <f>Worksheet!$B$3</f>
        <v>KLS</v>
      </c>
      <c r="H47" s="17">
        <f>Worksheet!$B$4</f>
        <v>44393</v>
      </c>
    </row>
    <row r="48" spans="1:8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t="str">
        <f>Worksheet!$B$3</f>
        <v>KLS</v>
      </c>
      <c r="H48" s="17">
        <f>Worksheet!$B$4</f>
        <v>44393</v>
      </c>
    </row>
    <row r="49" spans="1:8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t="str">
        <f>Worksheet!$B$3</f>
        <v>KLS</v>
      </c>
      <c r="H49" s="17">
        <f>Worksheet!$B$4</f>
        <v>44393</v>
      </c>
    </row>
    <row r="50" spans="1:8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t="str">
        <f>Worksheet!$B$3</f>
        <v>KLS</v>
      </c>
      <c r="H50" s="17">
        <f>Worksheet!$B$4</f>
        <v>44393</v>
      </c>
    </row>
    <row r="51" spans="1:8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t="str">
        <f>Worksheet!$B$3</f>
        <v>KLS</v>
      </c>
      <c r="H51" s="17">
        <f>Worksheet!$B$4</f>
        <v>44393</v>
      </c>
    </row>
    <row r="52" spans="1:8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t="str">
        <f>Worksheet!$B$3</f>
        <v>KLS</v>
      </c>
      <c r="H52" s="17">
        <f>Worksheet!$B$4</f>
        <v>44393</v>
      </c>
    </row>
    <row r="53" spans="1:8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t="str">
        <f>Worksheet!$B$3</f>
        <v>KLS</v>
      </c>
      <c r="H53" s="17">
        <f>Worksheet!$B$4</f>
        <v>44393</v>
      </c>
    </row>
    <row r="54" spans="1:8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t="str">
        <f>Worksheet!$B$3</f>
        <v>KLS</v>
      </c>
      <c r="H54" s="17">
        <f>Worksheet!$B$4</f>
        <v>44393</v>
      </c>
    </row>
    <row r="55" spans="1:8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t="str">
        <f>Worksheet!$B$3</f>
        <v>KLS</v>
      </c>
      <c r="H55" s="17">
        <f>Worksheet!$B$4</f>
        <v>44393</v>
      </c>
    </row>
    <row r="56" spans="1:8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t="str">
        <f>Worksheet!$B$3</f>
        <v>KLS</v>
      </c>
      <c r="H56" s="17">
        <f>Worksheet!$B$4</f>
        <v>44393</v>
      </c>
    </row>
    <row r="57" spans="1:8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t="str">
        <f>Worksheet!$B$3</f>
        <v>KLS</v>
      </c>
      <c r="H57" s="17">
        <f>Worksheet!$B$4</f>
        <v>44393</v>
      </c>
    </row>
    <row r="58" spans="1:8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t="str">
        <f>Worksheet!$B$3</f>
        <v>KLS</v>
      </c>
      <c r="H58" s="17">
        <f>Worksheet!$B$4</f>
        <v>44393</v>
      </c>
    </row>
    <row r="59" spans="1:8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t="str">
        <f>Worksheet!$B$3</f>
        <v>KLS</v>
      </c>
      <c r="H59" s="17">
        <f>Worksheet!$B$4</f>
        <v>44393</v>
      </c>
    </row>
    <row r="60" spans="1:8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t="str">
        <f>Worksheet!$B$3</f>
        <v>KLS</v>
      </c>
      <c r="H60" s="17">
        <f>Worksheet!$B$4</f>
        <v>44393</v>
      </c>
    </row>
    <row r="61" spans="1:8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t="str">
        <f>Worksheet!$B$3</f>
        <v>KLS</v>
      </c>
      <c r="H61" s="17">
        <f>Worksheet!$B$4</f>
        <v>44393</v>
      </c>
    </row>
    <row r="62" spans="1:8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t="str">
        <f>Worksheet!$B$3</f>
        <v>KLS</v>
      </c>
      <c r="H62" s="17">
        <f>Worksheet!$B$4</f>
        <v>44393</v>
      </c>
    </row>
    <row r="63" spans="1:8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t="str">
        <f>Worksheet!$B$3</f>
        <v>KLS</v>
      </c>
      <c r="H63" s="17">
        <f>Worksheet!$B$4</f>
        <v>44393</v>
      </c>
    </row>
    <row r="64" spans="1:8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t="str">
        <f>Worksheet!$B$3</f>
        <v>KLS</v>
      </c>
      <c r="H64" s="17">
        <f>Worksheet!$B$4</f>
        <v>44393</v>
      </c>
    </row>
    <row r="65" spans="1:8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t="str">
        <f>Worksheet!$B$3</f>
        <v>KLS</v>
      </c>
      <c r="H65" s="17">
        <f>Worksheet!$B$4</f>
        <v>44393</v>
      </c>
    </row>
    <row r="66" spans="1:8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t="str">
        <f>Worksheet!$B$3</f>
        <v>KLS</v>
      </c>
      <c r="H66" s="17">
        <f>Worksheet!$B$4</f>
        <v>44393</v>
      </c>
    </row>
    <row r="67" spans="1:8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t="str">
        <f>Worksheet!$B$3</f>
        <v>KLS</v>
      </c>
      <c r="H67" s="17">
        <f>Worksheet!$B$4</f>
        <v>44393</v>
      </c>
    </row>
    <row r="68" spans="1:8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t="str">
        <f>Worksheet!$B$3</f>
        <v>KLS</v>
      </c>
      <c r="H68" s="17">
        <f>Worksheet!$B$4</f>
        <v>44393</v>
      </c>
    </row>
    <row r="69" spans="1:8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t="str">
        <f>Worksheet!$B$3</f>
        <v>KLS</v>
      </c>
      <c r="H69" s="17">
        <f>Worksheet!$B$4</f>
        <v>44393</v>
      </c>
    </row>
    <row r="70" spans="1:8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t="str">
        <f>Worksheet!$B$3</f>
        <v>KLS</v>
      </c>
      <c r="H70" s="17">
        <f>Worksheet!$B$4</f>
        <v>44393</v>
      </c>
    </row>
    <row r="71" spans="1:8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t="str">
        <f>Worksheet!$B$3</f>
        <v>KLS</v>
      </c>
      <c r="H71" s="17">
        <f>Worksheet!$B$4</f>
        <v>44393</v>
      </c>
    </row>
    <row r="72" spans="1:8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t="str">
        <f>Worksheet!$B$3</f>
        <v>KLS</v>
      </c>
      <c r="H72" s="17">
        <f>Worksheet!$B$4</f>
        <v>44393</v>
      </c>
    </row>
    <row r="73" spans="1:8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t="str">
        <f>Worksheet!$B$3</f>
        <v>KLS</v>
      </c>
      <c r="H73" s="17">
        <f>Worksheet!$B$4</f>
        <v>44393</v>
      </c>
    </row>
    <row r="74" spans="1:8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t="str">
        <f>Worksheet!$B$3</f>
        <v>KLS</v>
      </c>
      <c r="H74" s="17">
        <f>Worksheet!$B$4</f>
        <v>44393</v>
      </c>
    </row>
    <row r="75" spans="1:8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t="str">
        <f>Worksheet!$B$3</f>
        <v>KLS</v>
      </c>
      <c r="H75" s="17">
        <f>Worksheet!$B$4</f>
        <v>44393</v>
      </c>
    </row>
    <row r="76" spans="1:8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t="str">
        <f>Worksheet!$B$3</f>
        <v>KLS</v>
      </c>
      <c r="H76" s="17">
        <f>Worksheet!$B$4</f>
        <v>44393</v>
      </c>
    </row>
    <row r="77" spans="1:8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t="str">
        <f>Worksheet!$B$3</f>
        <v>KLS</v>
      </c>
      <c r="H77" s="17">
        <f>Worksheet!$B$4</f>
        <v>44393</v>
      </c>
    </row>
    <row r="78" spans="1:8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t="str">
        <f>Worksheet!$B$3</f>
        <v>KLS</v>
      </c>
      <c r="H78" s="17">
        <f>Worksheet!$B$4</f>
        <v>44393</v>
      </c>
    </row>
    <row r="79" spans="1:8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t="str">
        <f>Worksheet!$B$3</f>
        <v>KLS</v>
      </c>
      <c r="H79" s="17">
        <f>Worksheet!$B$4</f>
        <v>44393</v>
      </c>
    </row>
    <row r="80" spans="1:8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t="str">
        <f>Worksheet!$B$3</f>
        <v>KLS</v>
      </c>
      <c r="H80" s="17">
        <f>Worksheet!$B$4</f>
        <v>44393</v>
      </c>
    </row>
    <row r="81" spans="1:8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t="str">
        <f>Worksheet!$B$3</f>
        <v>KLS</v>
      </c>
      <c r="H81" s="17">
        <f>Worksheet!$B$4</f>
        <v>44393</v>
      </c>
    </row>
    <row r="82" spans="1:8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H82" s="17"/>
    </row>
    <row r="83" spans="1:8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H83" s="17"/>
    </row>
    <row r="84" spans="1:8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H84" s="17"/>
    </row>
    <row r="85" spans="1:8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H85" s="17"/>
    </row>
    <row r="86" spans="1:8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H86" s="17"/>
    </row>
    <row r="87" spans="1:8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H87" s="17"/>
    </row>
    <row r="88" spans="1:8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H88" s="17"/>
    </row>
    <row r="89" spans="1:8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H89" s="17"/>
    </row>
    <row r="90" spans="1:8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H90" s="17"/>
    </row>
    <row r="91" spans="1:8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H91" s="17"/>
    </row>
    <row r="92" spans="1:8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H92" s="17"/>
    </row>
    <row r="93" spans="1:8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H93" s="17"/>
    </row>
    <row r="94" spans="1:8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H94" s="17"/>
    </row>
    <row r="95" spans="1:8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H95" s="17"/>
    </row>
    <row r="96" spans="1:8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H96" s="17"/>
    </row>
    <row r="97" spans="1:8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H97" s="17"/>
    </row>
    <row r="98" spans="1:8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H98" s="17"/>
    </row>
    <row r="99" spans="1:8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H99" s="17"/>
    </row>
    <row r="100" spans="1:8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H100" s="17"/>
    </row>
    <row r="101" spans="1:8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H101" s="17"/>
    </row>
    <row r="102" spans="1:8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H102" s="17"/>
    </row>
    <row r="103" spans="1:8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H103" s="17"/>
    </row>
    <row r="104" spans="1:8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H104" s="17"/>
    </row>
    <row r="105" spans="1:8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H105" s="17"/>
    </row>
    <row r="106" spans="1:8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H106" s="17"/>
    </row>
    <row r="107" spans="1:8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H107" s="17"/>
    </row>
    <row r="108" spans="1:8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H108" s="17"/>
    </row>
    <row r="109" spans="1:8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H109" s="17"/>
    </row>
    <row r="110" spans="1:8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H110" s="17"/>
    </row>
    <row r="111" spans="1:8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H111" s="17"/>
    </row>
    <row r="112" spans="1:8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H112" s="17"/>
    </row>
    <row r="113" spans="1:8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H113" s="17"/>
    </row>
    <row r="114" spans="1:8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H114" s="17"/>
    </row>
    <row r="115" spans="1:8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H115" s="17"/>
    </row>
    <row r="116" spans="1:8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H116" s="17"/>
    </row>
    <row r="117" spans="1:8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H117" s="17"/>
    </row>
    <row r="118" spans="1:8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H118" s="17"/>
    </row>
    <row r="119" spans="1:8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H119" s="17"/>
    </row>
    <row r="120" spans="1:8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H120" s="17"/>
    </row>
    <row r="121" spans="1:8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H121" s="17"/>
    </row>
    <row r="122" spans="1:8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H122" s="17"/>
    </row>
    <row r="123" spans="1:8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H123" s="17"/>
    </row>
    <row r="124" spans="1:8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H124" s="17"/>
    </row>
    <row r="125" spans="1:8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H125" s="17"/>
    </row>
    <row r="126" spans="1:8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H126" s="17"/>
    </row>
    <row r="127" spans="1:8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H127" s="17"/>
    </row>
    <row r="128" spans="1:8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H128" s="17"/>
    </row>
    <row r="129" spans="1:8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H129" s="17"/>
    </row>
    <row r="130" spans="1:8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H130" s="17"/>
    </row>
    <row r="131" spans="1:8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H131" s="17"/>
    </row>
    <row r="132" spans="1:8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H132" s="17"/>
    </row>
    <row r="133" spans="1:8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H133" s="17"/>
    </row>
    <row r="134" spans="1:8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H134" s="17"/>
    </row>
    <row r="135" spans="1:8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H135" s="17"/>
    </row>
    <row r="136" spans="1:8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H136" s="17"/>
    </row>
    <row r="137" spans="1:8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H137" s="17"/>
    </row>
    <row r="138" spans="1:8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H138" s="17"/>
    </row>
    <row r="139" spans="1:8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H139" s="17"/>
    </row>
    <row r="140" spans="1:8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H140" s="17"/>
    </row>
    <row r="141" spans="1:8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H141" s="17"/>
    </row>
    <row r="142" spans="1:8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H142" s="17"/>
    </row>
    <row r="143" spans="1:8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H143" s="17"/>
    </row>
    <row r="144" spans="1:8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H144" s="17"/>
    </row>
    <row r="145" spans="1:8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H145" s="17"/>
    </row>
    <row r="146" spans="1:8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H146" s="17"/>
    </row>
    <row r="147" spans="1:8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H147" s="17"/>
    </row>
    <row r="148" spans="1:8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H148" s="1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2021-07-17T01:34:23Z</dcterms:modified>
</cp:coreProperties>
</file>